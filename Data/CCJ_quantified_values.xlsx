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0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td/PycharmProjects/CCJ/Data/"/>
    </mc:Choice>
  </mc:AlternateContent>
  <xr:revisionPtr revIDLastSave="0" documentId="13_ncr:1_{5F776D7A-CE38-6D41-B105-65AEED820DFF}" xr6:coauthVersionLast="47" xr6:coauthVersionMax="47" xr10:uidLastSave="{00000000-0000-0000-0000-000000000000}"/>
  <bookViews>
    <workbookView xWindow="0" yWindow="760" windowWidth="29400" windowHeight="17380" activeTab="1" xr2:uid="{00000000-000D-0000-FFFF-FFFF00000000}"/>
  </bookViews>
  <sheets>
    <sheet name="Baseline components " sheetId="4" r:id="rId1"/>
    <sheet name="mvpf_component_mapping" sheetId="5" r:id="rId2"/>
    <sheet name="CCJ Subset Quantification" sheetId="3" r:id="rId3"/>
    <sheet name="OLD Baseline components" sheetId="1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5" l="1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I19" i="4"/>
</calcChain>
</file>

<file path=xl/sharedStrings.xml><?xml version="1.0" encoding="utf-8"?>
<sst xmlns="http://schemas.openxmlformats.org/spreadsheetml/2006/main" count="400" uniqueCount="169">
  <si>
    <t>row_var</t>
  </si>
  <si>
    <t>component name</t>
  </si>
  <si>
    <t>subcomponent</t>
  </si>
  <si>
    <t>alternative</t>
  </si>
  <si>
    <t>unit</t>
  </si>
  <si>
    <t>timeframe</t>
  </si>
  <si>
    <t>dependencies</t>
  </si>
  <si>
    <t>Min</t>
  </si>
  <si>
    <t>Mean</t>
  </si>
  <si>
    <t>Median</t>
  </si>
  <si>
    <t>Max</t>
  </si>
  <si>
    <t>Notes</t>
  </si>
  <si>
    <t>Source 1</t>
  </si>
  <si>
    <t>Link 1</t>
  </si>
  <si>
    <t>Source 2</t>
  </si>
  <si>
    <t>Link 2</t>
  </si>
  <si>
    <t>crime_prev_value</t>
  </si>
  <si>
    <t>10-year value to society</t>
  </si>
  <si>
    <t>Value of future criminality prevented</t>
  </si>
  <si>
    <t>1</t>
  </si>
  <si>
    <t>dollar per year</t>
  </si>
  <si>
    <t>long term</t>
  </si>
  <si>
    <t>wrongful_death_wtp_life</t>
  </si>
  <si>
    <t>Wrongful death damages Social cost of detainment and wtp for a human life</t>
  </si>
  <si>
    <t>haven_cost_of_crime</t>
  </si>
  <si>
    <t>https://nij.ojp.gov/library/publications/cost-crime-haven-conceptual-framework-measuring-victim-harms-violence</t>
  </si>
  <si>
    <t>crime_prev_measure</t>
  </si>
  <si>
    <t>Short term value to society</t>
  </si>
  <si>
    <t>short run</t>
  </si>
  <si>
    <t>case_outcomes_released</t>
  </si>
  <si>
    <t>Sentencing, conviction, and plea rates per released defendants</t>
  </si>
  <si>
    <t>%</t>
  </si>
  <si>
    <t>income_reduced</t>
  </si>
  <si>
    <t>10-year value to detainee</t>
  </si>
  <si>
    <t>Reduced income</t>
  </si>
  <si>
    <t>negative</t>
  </si>
  <si>
    <t>FED study</t>
  </si>
  <si>
    <t>los_days</t>
  </si>
  <si>
    <t>Short-term value to detainee</t>
  </si>
  <si>
    <t>Length of Stay (LoS)</t>
  </si>
  <si>
    <t>input</t>
  </si>
  <si>
    <t>days</t>
  </si>
  <si>
    <t>No other distribution info available</t>
  </si>
  <si>
    <t>CCJ Dashboard</t>
  </si>
  <si>
    <t>https://cook-dashboard.loyolaccj.org/jail/releases</t>
  </si>
  <si>
    <t>emp_rate</t>
  </si>
  <si>
    <t>Employment rate</t>
  </si>
  <si>
    <t>Bureau of Justice Statistics</t>
  </si>
  <si>
    <t>Bureau of Justice Statistics Special Report Profile of Jail Inmates, 2002</t>
  </si>
  <si>
    <t>chrome-extension://efaidnbmnnnibpcajpcglclefindmkaj/https://bjs.ojp.gov/content/pub/pdf/pji02.pdf?utm_source=chatgpt.com</t>
  </si>
  <si>
    <t>wage</t>
  </si>
  <si>
    <t>Wage</t>
  </si>
  <si>
    <t>dollars per hour</t>
  </si>
  <si>
    <t>Labor Stats &amp; Minimum Wage</t>
  </si>
  <si>
    <t>https://www.bls.gov/regions/midwest/news-release/2019/countyemploymentandwages_illinois_20190708.htm</t>
  </si>
  <si>
    <t>emp_level</t>
  </si>
  <si>
    <t>Employment level</t>
  </si>
  <si>
    <t>hours per day</t>
  </si>
  <si>
    <t>Assuming even distribution of hours per day.</t>
  </si>
  <si>
    <t>FRED</t>
  </si>
  <si>
    <t>https://fred.stlouisfed.org/series/SMU17169800500000002A</t>
  </si>
  <si>
    <t>lost_wages</t>
  </si>
  <si>
    <t>Lost wages</t>
  </si>
  <si>
    <t>dollars per day</t>
  </si>
  <si>
    <t>Product of: Employment rate, Employment level, Wage</t>
  </si>
  <si>
    <t>wtp_freedom</t>
  </si>
  <si>
    <t>WTP for Freedom</t>
  </si>
  <si>
    <t>PRETRIAL DETENTION AND THE VALUE OF LIBERTY Megan T. Stevenson* &amp; Sandra G. Mayson**</t>
  </si>
  <si>
    <t>chrome-extension://efaidnbmnnnibpcajpcglclefindmkaj/https://virginialawreview.org/wp-content/uploads/2022/05/StevensonMayson_Book.pdf</t>
  </si>
  <si>
    <t>wtp_rhv</t>
  </si>
  <si>
    <t>WTP Relative harm valuation</t>
  </si>
  <si>
    <t>2</t>
  </si>
  <si>
    <t>Scales Non-linearly by LoS</t>
  </si>
  <si>
    <t>inc_conv_len</t>
  </si>
  <si>
    <t>10-year cost to government</t>
  </si>
  <si>
    <t>Increased Probability of Conviction and Longer Sentences</t>
  </si>
  <si>
    <t>0.13 increased probability of conviction × ~$1,000 per added case</t>
  </si>
  <si>
    <t>UChicago, Leslie &amp; Pope</t>
  </si>
  <si>
    <t>https://www.journals.uchicago.edu/doi/full/10.1086/695285</t>
  </si>
  <si>
    <t>mc_jail_day</t>
  </si>
  <si>
    <t>Short-term cost to government</t>
  </si>
  <si>
    <t>Marginal Cost Jail Days</t>
  </si>
  <si>
    <t>3</t>
  </si>
  <si>
    <t>Vera Institute</t>
  </si>
  <si>
    <t>https://www.vera.org/publications/the-price-of-jails-measuring-the-taxpayer-cost-of-local-incarceration#:~:text=Publication%20Highlights,the%20total%20cost%20of%20jails.</t>
  </si>
  <si>
    <t>postrel_health_spike</t>
  </si>
  <si>
    <t>Spike in Public Health Spending post-release</t>
  </si>
  <si>
    <t>Study is on prison release not jail, using $300 as a conservative figure</t>
  </si>
  <si>
    <t>NEJM</t>
  </si>
  <si>
    <t>ccj_funding_2018</t>
  </si>
  <si>
    <t>Total Funding for CCJ (2018)</t>
  </si>
  <si>
    <t>dollars per year</t>
  </si>
  <si>
    <t>n_detainees</t>
  </si>
  <si>
    <t>Weight</t>
  </si>
  <si>
    <t>n Detainees</t>
  </si>
  <si>
    <t>people</t>
  </si>
  <si>
    <t>n_society</t>
  </si>
  <si>
    <t>n Society</t>
  </si>
  <si>
    <t>https://www.scheuermanlaw.com/wrongful-death-settlement-calculator/</t>
  </si>
  <si>
    <t>income, crime type</t>
  </si>
  <si>
    <t>HAVEN cost of crime calculator</t>
  </si>
  <si>
    <t>https://rsconnect.norc.org/havencost/#home</t>
  </si>
  <si>
    <t xml:space="preserve">Framework </t>
  </si>
  <si>
    <t>https://www.tandfonline.com/doi/epdf/10.1080/07418825.2025.2456182?needAccess=true</t>
  </si>
  <si>
    <t>How Does Incarceration Affect Reoffending? Estimating the Dose-Response Function</t>
  </si>
  <si>
    <t>estimate</t>
  </si>
  <si>
    <t>https://loyolaccj.org/blog/cook-bond</t>
  </si>
  <si>
    <t>Monetary D- bonds measuring the nature of crime, potential danger to public and danger of flee</t>
  </si>
  <si>
    <t>Central bond court report 2018</t>
  </si>
  <si>
    <t>https://cookcountysheriffil.gov/wp-content/uploads/2018/02/Central-Bond-Court-Report.pdf</t>
  </si>
  <si>
    <t>Loyola</t>
  </si>
  <si>
    <t>selected_value</t>
  </si>
  <si>
    <t>source_dollar_year</t>
  </si>
  <si>
    <t>D-bond values for felony charges</t>
  </si>
  <si>
    <t>Cost of crime - HAVEN framework (victims)</t>
  </si>
  <si>
    <t>positive</t>
  </si>
  <si>
    <t xml:space="preserve">sign </t>
  </si>
  <si>
    <t xml:space="preserve">input </t>
  </si>
  <si>
    <t xml:space="preserve">Proportion of Felonies vs. Misdemeanors </t>
  </si>
  <si>
    <t>fel_rate</t>
  </si>
  <si>
    <t>haven_cost_fel_rate</t>
  </si>
  <si>
    <t>dollar for 10 years per person</t>
  </si>
  <si>
    <t>dollars per day per person</t>
  </si>
  <si>
    <t>multiple by length of stay</t>
  </si>
  <si>
    <t>convert to day</t>
  </si>
  <si>
    <t>dollar per detainee</t>
  </si>
  <si>
    <t>dollar per victim</t>
  </si>
  <si>
    <t>needed to divide it with annual running detainee population</t>
  </si>
  <si>
    <t>https://bjs.ojp.gov/employment-state-and-federal-prisoners-prior-incarceration-2016</t>
  </si>
  <si>
    <t>https://www.nejm.org/doi/full/10.1056/NEJMsa064115</t>
  </si>
  <si>
    <t>chrome-extension://efaidnbmnnnibpcajpcglclefindmkaj/https://opendocs.cookcountyil.gov/budget/archive/2018_Annual_Appropriation_Volume_2.pdf</t>
  </si>
  <si>
    <t>2018 Annual Appropriations</t>
  </si>
  <si>
    <t>Min alternative</t>
  </si>
  <si>
    <t>Max alternative</t>
  </si>
  <si>
    <t>Value to society</t>
  </si>
  <si>
    <t>Value to detainee</t>
  </si>
  <si>
    <t>Cost to government</t>
  </si>
  <si>
    <t>dollars per detainee</t>
  </si>
  <si>
    <t>min_alternative</t>
  </si>
  <si>
    <t>max_alternative</t>
  </si>
  <si>
    <t>nudge_court_appear</t>
  </si>
  <si>
    <t>Valuation of effects of detention on court appearance</t>
  </si>
  <si>
    <t>crime type</t>
  </si>
  <si>
    <t>Relative Harm Valuation (RHV)</t>
  </si>
  <si>
    <t>baseline (1) /alternative</t>
  </si>
  <si>
    <t>N/A</t>
  </si>
  <si>
    <t>Hofflander ( ): Loss of Income Due to Wrongful Death: A Method of Measurement.Insurance Law Journal 1965 Ins. L.J. (1965)  LibGuide</t>
  </si>
  <si>
    <t xml:space="preserve">Lewbel (2003)l: Calculating compensation in cases of wrongful death. Journal of Econometrics 113, pp 115-128 </t>
  </si>
  <si>
    <t>https://www.sciencedirect.com/science/article/pii/S0304407602001690#SEC2</t>
  </si>
  <si>
    <t>US statistics from https://www.scheuermanlaw.com/wrongful-death-settlement-calculator/</t>
  </si>
  <si>
    <t>crime type - felonies selected</t>
  </si>
  <si>
    <t>income</t>
  </si>
  <si>
    <t>Focusing only on the economic losses part in the WDD calculation</t>
  </si>
  <si>
    <t>Acute Cost of crime - HAVEN framework (victims)</t>
  </si>
  <si>
    <t>only for violent crimes</t>
  </si>
  <si>
    <t xml:space="preserve">Incapacitation and deterrance crime effects of detention  </t>
  </si>
  <si>
    <t>Alternatives proven to be ineffecive: D-bond values selected for felony charges</t>
  </si>
  <si>
    <t>Wrongful death damages Social cost of detainment (focusing on economic impact submeasure)</t>
  </si>
  <si>
    <t>baseline</t>
  </si>
  <si>
    <t>no. of criteria</t>
  </si>
  <si>
    <t>govt_refractions</t>
  </si>
  <si>
    <t>govt_health</t>
  </si>
  <si>
    <t>govt_operative</t>
  </si>
  <si>
    <t>soc_community</t>
  </si>
  <si>
    <t>soc_crimeprev</t>
  </si>
  <si>
    <t>soc_court</t>
  </si>
  <si>
    <t>det_rhv</t>
  </si>
  <si>
    <t>det_wtp</t>
  </si>
  <si>
    <t>Scenario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</si>
</sst>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0.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1"/>
      <color theme="0" tint="-0.14999847407452621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1" fontId="0" fillId="0" borderId="0" xfId="0" applyNumberFormat="1"/>
    <xf numFmtId="1" fontId="2" fillId="0" borderId="0" xfId="0" applyNumberFormat="1" applyFont="1"/>
    <xf numFmtId="0" fontId="3" fillId="0" borderId="0" xfId="0" applyFont="1"/>
    <xf numFmtId="164" fontId="3" fillId="0" borderId="0" xfId="0" applyNumberFormat="1" applyFont="1"/>
    <xf numFmtId="0" fontId="4" fillId="0" borderId="0" xfId="0" applyFont="1"/>
    <xf numFmtId="1" fontId="3" fillId="0" borderId="0" xfId="0" applyNumberFormat="1" applyFont="1"/>
    <xf numFmtId="6" fontId="0" fillId="0" borderId="0" xfId="0" applyNumberFormat="1"/>
    <xf numFmtId="0" fontId="5" fillId="0" borderId="0" xfId="1"/>
    <xf numFmtId="0" fontId="0" fillId="0" borderId="0" xfId="0" applyAlignment="1">
      <alignment wrapText="1"/>
    </xf>
    <xf numFmtId="0" fontId="6" fillId="0" borderId="0" xfId="0" applyFont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nij.ojp.gov/library/publications/cost-crime-haven-conceptual-framework-measuring-victim-harms-violence" TargetMode="External"/><Relationship Id="rId1" Type="http://schemas.openxmlformats.org/officeDocument/2006/relationships/hyperlink" Target="https://www.nejm.org/doi/full/10.1056/NEJMsa064115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bjs.ojp.gov/employment-state-and-federal-prisoners-prior-incarceration-2016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nij.ojp.gov/library/publications/cost-crime-haven-conceptual-framework-measuring-victim-harms-violence" TargetMode="External"/><Relationship Id="rId2" Type="http://schemas.openxmlformats.org/officeDocument/2006/relationships/hyperlink" Target="https://bjs.ojp.gov/employment-state-and-federal-prisoners-prior-incarceration-2016" TargetMode="External"/><Relationship Id="rId1" Type="http://schemas.openxmlformats.org/officeDocument/2006/relationships/hyperlink" Target="https://www.nejm.org/doi/full/10.1056/NEJMsa064115" TargetMode="External"/><Relationship Id="rId4" Type="http://schemas.openxmlformats.org/officeDocument/2006/relationships/hyperlink" Target="https://www.scheuermanlaw.com/wrongful-death-settlement-calculato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C5E1B-70FC-CE48-BD0C-84D5CA275194}">
  <dimension ref="A1:Q19"/>
  <sheetViews>
    <sheetView zoomScale="108" workbookViewId="0">
      <selection activeCell="B9" sqref="B9"/>
    </sheetView>
  </sheetViews>
  <sheetFormatPr baseColWidth="10" defaultColWidth="8.83203125" defaultRowHeight="15" x14ac:dyDescent="0.2"/>
  <cols>
    <col min="1" max="1" width="20.33203125" bestFit="1" customWidth="1"/>
    <col min="2" max="2" width="24.83203125" bestFit="1" customWidth="1"/>
    <col min="3" max="3" width="58.1640625" customWidth="1"/>
    <col min="4" max="4" width="20" customWidth="1"/>
    <col min="5" max="5" width="20.6640625" bestFit="1" customWidth="1"/>
    <col min="6" max="6" width="7.5" bestFit="1" customWidth="1"/>
    <col min="7" max="7" width="15.6640625" customWidth="1"/>
    <col min="8" max="8" width="20" customWidth="1"/>
    <col min="9" max="9" width="12.83203125" bestFit="1" customWidth="1"/>
    <col min="10" max="10" width="13.5" bestFit="1" customWidth="1"/>
    <col min="11" max="11" width="16.33203125" customWidth="1"/>
    <col min="12" max="12" width="53.6640625" bestFit="1" customWidth="1"/>
    <col min="13" max="13" width="72.1640625" bestFit="1" customWidth="1"/>
    <col min="14" max="14" width="138.1640625" bestFit="1" customWidth="1"/>
    <col min="15" max="15" width="54.6640625" bestFit="1" customWidth="1"/>
    <col min="16" max="16" width="102.6640625" bestFit="1" customWidth="1"/>
  </cols>
  <sheetData>
    <row r="1" spans="1:17" s="1" customFormat="1" x14ac:dyDescent="0.2">
      <c r="A1" s="1" t="s">
        <v>0</v>
      </c>
      <c r="B1" s="1" t="s">
        <v>1</v>
      </c>
      <c r="C1" s="1" t="s">
        <v>2</v>
      </c>
      <c r="D1" s="1" t="s">
        <v>144</v>
      </c>
      <c r="E1" s="1" t="s">
        <v>4</v>
      </c>
      <c r="F1" s="1" t="s">
        <v>116</v>
      </c>
      <c r="G1" s="1" t="s">
        <v>112</v>
      </c>
      <c r="H1" s="1" t="s">
        <v>6</v>
      </c>
      <c r="I1" s="1" t="s">
        <v>111</v>
      </c>
      <c r="J1" s="1" t="s">
        <v>138</v>
      </c>
      <c r="K1" s="1" t="s">
        <v>139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7" x14ac:dyDescent="0.2">
      <c r="A2" t="s">
        <v>140</v>
      </c>
      <c r="B2" t="s">
        <v>134</v>
      </c>
      <c r="C2" t="s">
        <v>141</v>
      </c>
      <c r="D2">
        <v>1</v>
      </c>
      <c r="E2" t="s">
        <v>137</v>
      </c>
      <c r="F2" t="s">
        <v>115</v>
      </c>
      <c r="G2">
        <v>2020</v>
      </c>
      <c r="H2" t="s">
        <v>142</v>
      </c>
      <c r="I2">
        <v>12.6</v>
      </c>
    </row>
    <row r="3" spans="1:17" x14ac:dyDescent="0.2">
      <c r="A3" t="s">
        <v>26</v>
      </c>
      <c r="B3" t="s">
        <v>134</v>
      </c>
      <c r="C3" t="s">
        <v>155</v>
      </c>
      <c r="D3">
        <v>1</v>
      </c>
      <c r="E3" t="s">
        <v>137</v>
      </c>
      <c r="F3" t="s">
        <v>115</v>
      </c>
      <c r="G3">
        <v>2018</v>
      </c>
      <c r="H3" t="s">
        <v>150</v>
      </c>
      <c r="I3" s="3">
        <v>0</v>
      </c>
      <c r="J3" s="3">
        <v>133685</v>
      </c>
      <c r="K3" s="3">
        <v>75000</v>
      </c>
      <c r="L3" t="s">
        <v>156</v>
      </c>
      <c r="M3" t="s">
        <v>108</v>
      </c>
      <c r="N3" t="s">
        <v>109</v>
      </c>
      <c r="O3" t="s">
        <v>110</v>
      </c>
      <c r="P3" t="s">
        <v>106</v>
      </c>
    </row>
    <row r="4" spans="1:17" ht="31" customHeight="1" x14ac:dyDescent="0.2">
      <c r="A4" t="s">
        <v>22</v>
      </c>
      <c r="B4" t="s">
        <v>134</v>
      </c>
      <c r="C4" s="12" t="s">
        <v>157</v>
      </c>
      <c r="D4">
        <v>1</v>
      </c>
      <c r="E4" t="s">
        <v>137</v>
      </c>
      <c r="F4" t="s">
        <v>35</v>
      </c>
      <c r="G4">
        <v>2023</v>
      </c>
      <c r="H4" t="s">
        <v>151</v>
      </c>
      <c r="I4" s="3">
        <v>294728</v>
      </c>
      <c r="J4" s="3">
        <v>100000</v>
      </c>
      <c r="K4" s="3">
        <v>300000</v>
      </c>
      <c r="L4" t="s">
        <v>152</v>
      </c>
      <c r="M4" s="11" t="s">
        <v>147</v>
      </c>
      <c r="N4" t="s">
        <v>148</v>
      </c>
      <c r="O4" t="s">
        <v>146</v>
      </c>
      <c r="P4" t="s">
        <v>149</v>
      </c>
    </row>
    <row r="5" spans="1:17" x14ac:dyDescent="0.2">
      <c r="A5" t="s">
        <v>24</v>
      </c>
      <c r="B5" t="s">
        <v>134</v>
      </c>
      <c r="C5" t="s">
        <v>153</v>
      </c>
      <c r="D5">
        <v>1</v>
      </c>
      <c r="E5" t="s">
        <v>126</v>
      </c>
      <c r="F5" t="s">
        <v>35</v>
      </c>
      <c r="G5">
        <v>2024</v>
      </c>
      <c r="H5" t="s">
        <v>150</v>
      </c>
      <c r="I5" s="3">
        <v>875000</v>
      </c>
      <c r="J5" s="3">
        <v>10000</v>
      </c>
      <c r="K5" s="3">
        <v>875000</v>
      </c>
      <c r="L5" s="3" t="s">
        <v>154</v>
      </c>
      <c r="M5" t="s">
        <v>100</v>
      </c>
      <c r="N5" t="s">
        <v>101</v>
      </c>
      <c r="O5" s="10" t="s">
        <v>25</v>
      </c>
      <c r="P5" t="s">
        <v>102</v>
      </c>
      <c r="Q5" t="s">
        <v>103</v>
      </c>
    </row>
    <row r="6" spans="1:17" x14ac:dyDescent="0.2">
      <c r="A6" t="s">
        <v>65</v>
      </c>
      <c r="B6" t="s">
        <v>135</v>
      </c>
      <c r="C6" t="s">
        <v>66</v>
      </c>
      <c r="D6">
        <v>2</v>
      </c>
      <c r="E6" t="s">
        <v>63</v>
      </c>
      <c r="F6" t="s">
        <v>35</v>
      </c>
      <c r="G6">
        <v>2022</v>
      </c>
      <c r="I6" s="3">
        <v>11</v>
      </c>
      <c r="J6" s="2"/>
      <c r="K6" s="2"/>
      <c r="M6" t="s">
        <v>67</v>
      </c>
      <c r="N6" t="s">
        <v>68</v>
      </c>
    </row>
    <row r="7" spans="1:17" x14ac:dyDescent="0.2">
      <c r="A7" t="s">
        <v>69</v>
      </c>
      <c r="B7" t="s">
        <v>135</v>
      </c>
      <c r="C7" t="s">
        <v>143</v>
      </c>
      <c r="D7">
        <v>1</v>
      </c>
      <c r="E7" t="s">
        <v>63</v>
      </c>
      <c r="F7" t="s">
        <v>35</v>
      </c>
      <c r="G7">
        <v>2021</v>
      </c>
      <c r="H7" t="s">
        <v>72</v>
      </c>
      <c r="I7" s="3">
        <v>295275</v>
      </c>
      <c r="K7" s="9">
        <v>295275</v>
      </c>
      <c r="M7" t="s">
        <v>67</v>
      </c>
      <c r="N7" t="s">
        <v>68</v>
      </c>
    </row>
    <row r="8" spans="1:17" x14ac:dyDescent="0.2">
      <c r="A8" t="s">
        <v>85</v>
      </c>
      <c r="B8" t="s">
        <v>136</v>
      </c>
      <c r="C8" t="s">
        <v>86</v>
      </c>
      <c r="D8">
        <v>3</v>
      </c>
      <c r="E8" t="s">
        <v>125</v>
      </c>
      <c r="F8" t="s">
        <v>115</v>
      </c>
      <c r="G8">
        <v>2018</v>
      </c>
      <c r="I8" s="3">
        <v>300</v>
      </c>
      <c r="J8">
        <v>200</v>
      </c>
      <c r="K8">
        <v>400</v>
      </c>
      <c r="L8" t="s">
        <v>87</v>
      </c>
      <c r="M8" t="s">
        <v>88</v>
      </c>
      <c r="N8" s="10" t="s">
        <v>129</v>
      </c>
    </row>
    <row r="9" spans="1:17" ht="16" customHeight="1" x14ac:dyDescent="0.2">
      <c r="A9" t="s">
        <v>89</v>
      </c>
      <c r="B9" t="s">
        <v>136</v>
      </c>
      <c r="C9" t="s">
        <v>90</v>
      </c>
      <c r="D9">
        <v>1</v>
      </c>
      <c r="E9" t="s">
        <v>91</v>
      </c>
      <c r="F9" t="s">
        <v>115</v>
      </c>
      <c r="G9">
        <v>2018</v>
      </c>
      <c r="H9" s="7"/>
      <c r="I9" s="3">
        <v>448677628</v>
      </c>
      <c r="J9">
        <v>448677628</v>
      </c>
      <c r="K9" s="2"/>
      <c r="M9" t="s">
        <v>131</v>
      </c>
      <c r="N9" s="10" t="s">
        <v>130</v>
      </c>
    </row>
    <row r="10" spans="1:17" x14ac:dyDescent="0.2">
      <c r="A10" t="s">
        <v>92</v>
      </c>
      <c r="B10" t="s">
        <v>93</v>
      </c>
      <c r="C10" t="s">
        <v>94</v>
      </c>
      <c r="D10" t="s">
        <v>117</v>
      </c>
      <c r="E10" t="s">
        <v>95</v>
      </c>
      <c r="F10" t="s">
        <v>145</v>
      </c>
      <c r="G10">
        <v>2018</v>
      </c>
      <c r="I10" s="3">
        <v>33945</v>
      </c>
      <c r="J10" s="2"/>
      <c r="K10" s="2"/>
    </row>
    <row r="11" spans="1:17" x14ac:dyDescent="0.2">
      <c r="A11" t="s">
        <v>96</v>
      </c>
      <c r="B11" t="s">
        <v>93</v>
      </c>
      <c r="C11" t="s">
        <v>97</v>
      </c>
      <c r="D11" t="s">
        <v>117</v>
      </c>
      <c r="E11" t="s">
        <v>95</v>
      </c>
      <c r="F11" t="s">
        <v>145</v>
      </c>
      <c r="G11">
        <v>2018</v>
      </c>
      <c r="I11" s="3">
        <v>5171000</v>
      </c>
    </row>
    <row r="12" spans="1:17" x14ac:dyDescent="0.2">
      <c r="A12" t="s">
        <v>119</v>
      </c>
      <c r="B12" t="s">
        <v>93</v>
      </c>
      <c r="C12" t="s">
        <v>118</v>
      </c>
      <c r="D12" t="s">
        <v>117</v>
      </c>
      <c r="E12" t="s">
        <v>31</v>
      </c>
      <c r="F12" t="s">
        <v>145</v>
      </c>
      <c r="G12" t="s">
        <v>145</v>
      </c>
      <c r="I12" s="3">
        <v>0.7</v>
      </c>
    </row>
    <row r="13" spans="1:17" x14ac:dyDescent="0.2">
      <c r="A13" t="s">
        <v>37</v>
      </c>
      <c r="B13" t="s">
        <v>93</v>
      </c>
      <c r="C13" t="s">
        <v>39</v>
      </c>
      <c r="D13" t="s">
        <v>40</v>
      </c>
      <c r="E13" t="s">
        <v>41</v>
      </c>
      <c r="F13" t="s">
        <v>145</v>
      </c>
      <c r="G13" t="s">
        <v>145</v>
      </c>
      <c r="I13" s="3">
        <v>70</v>
      </c>
      <c r="J13" s="2">
        <v>60.37</v>
      </c>
      <c r="K13" s="2"/>
      <c r="L13" t="s">
        <v>42</v>
      </c>
      <c r="M13" t="s">
        <v>43</v>
      </c>
      <c r="N13" t="s">
        <v>44</v>
      </c>
    </row>
    <row r="19" spans="9:9" x14ac:dyDescent="0.2">
      <c r="I19">
        <f>+I9/I10</f>
        <v>13217.782530564147</v>
      </c>
    </row>
  </sheetData>
  <hyperlinks>
    <hyperlink ref="N8" r:id="rId1" xr:uid="{126C1809-D3C8-9244-9EA2-45648641ED16}"/>
    <hyperlink ref="O5" r:id="rId2" xr:uid="{A36DD19A-6484-BA44-A71E-581B1317BD8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AB0FE-E22E-7046-8B42-84C7BB8E6363}">
  <dimension ref="A1:J17"/>
  <sheetViews>
    <sheetView tabSelected="1" workbookViewId="0">
      <selection activeCell="C19" sqref="C19"/>
    </sheetView>
  </sheetViews>
  <sheetFormatPr baseColWidth="10" defaultRowHeight="15" x14ac:dyDescent="0.2"/>
  <cols>
    <col min="1" max="1" width="17.5" customWidth="1"/>
    <col min="2" max="9" width="15.33203125" customWidth="1"/>
  </cols>
  <sheetData>
    <row r="1" spans="1:10" x14ac:dyDescent="0.2">
      <c r="A1" t="s">
        <v>168</v>
      </c>
      <c r="B1" t="s">
        <v>167</v>
      </c>
      <c r="C1" t="s">
        <v>166</v>
      </c>
      <c r="D1" t="s">
        <v>165</v>
      </c>
      <c r="E1" t="s">
        <v>164</v>
      </c>
      <c r="F1" t="s">
        <v>163</v>
      </c>
      <c r="G1" t="s">
        <v>162</v>
      </c>
      <c r="H1" t="s">
        <v>161</v>
      </c>
      <c r="I1" t="s">
        <v>160</v>
      </c>
      <c r="J1" t="s">
        <v>159</v>
      </c>
    </row>
    <row r="2" spans="1:10" x14ac:dyDescent="0.2">
      <c r="A2" t="s">
        <v>158</v>
      </c>
      <c r="B2">
        <v>1</v>
      </c>
      <c r="C2">
        <v>0</v>
      </c>
      <c r="D2">
        <v>1</v>
      </c>
      <c r="E2">
        <v>0</v>
      </c>
      <c r="F2">
        <v>1</v>
      </c>
      <c r="G2">
        <v>1</v>
      </c>
      <c r="H2">
        <v>1</v>
      </c>
      <c r="I2">
        <v>0</v>
      </c>
      <c r="J2">
        <f>COUNTIF(B2:I2, 1)</f>
        <v>5</v>
      </c>
    </row>
    <row r="3" spans="1:10" x14ac:dyDescent="0.2">
      <c r="A3">
        <v>2</v>
      </c>
      <c r="B3">
        <v>0</v>
      </c>
      <c r="C3">
        <v>1</v>
      </c>
      <c r="D3">
        <v>0</v>
      </c>
      <c r="E3">
        <v>0</v>
      </c>
      <c r="F3">
        <v>1</v>
      </c>
      <c r="G3">
        <v>1</v>
      </c>
      <c r="H3">
        <v>1</v>
      </c>
      <c r="I3">
        <v>0</v>
      </c>
      <c r="J3">
        <f>COUNTIF(B3:I3, 1)</f>
        <v>4</v>
      </c>
    </row>
    <row r="4" spans="1:10" x14ac:dyDescent="0.2">
      <c r="A4">
        <v>3</v>
      </c>
      <c r="B4">
        <v>1</v>
      </c>
      <c r="C4">
        <v>0</v>
      </c>
      <c r="D4">
        <v>1</v>
      </c>
      <c r="E4">
        <v>0</v>
      </c>
      <c r="F4">
        <v>0</v>
      </c>
      <c r="G4">
        <v>1</v>
      </c>
      <c r="H4">
        <v>1</v>
      </c>
      <c r="I4">
        <v>0</v>
      </c>
      <c r="J4">
        <f>COUNTIF(B4:I4, 1)</f>
        <v>4</v>
      </c>
    </row>
    <row r="5" spans="1:10" x14ac:dyDescent="0.2">
      <c r="A5">
        <v>4</v>
      </c>
      <c r="B5">
        <v>0</v>
      </c>
      <c r="C5">
        <v>1</v>
      </c>
      <c r="D5">
        <v>1</v>
      </c>
      <c r="E5">
        <v>0</v>
      </c>
      <c r="F5">
        <v>0</v>
      </c>
      <c r="G5">
        <v>1</v>
      </c>
      <c r="H5">
        <v>1</v>
      </c>
      <c r="I5">
        <v>0</v>
      </c>
      <c r="J5">
        <f>COUNTIF(B5:I5, 1)</f>
        <v>4</v>
      </c>
    </row>
    <row r="6" spans="1:10" x14ac:dyDescent="0.2">
      <c r="A6">
        <v>5</v>
      </c>
      <c r="B6">
        <v>1</v>
      </c>
      <c r="C6">
        <v>0</v>
      </c>
      <c r="D6">
        <v>0</v>
      </c>
      <c r="E6">
        <v>1</v>
      </c>
      <c r="F6">
        <v>1</v>
      </c>
      <c r="G6">
        <v>1</v>
      </c>
      <c r="H6">
        <v>1</v>
      </c>
      <c r="I6">
        <v>1</v>
      </c>
      <c r="J6">
        <f>COUNTIF(B6:I6, 1)</f>
        <v>6</v>
      </c>
    </row>
    <row r="7" spans="1:10" x14ac:dyDescent="0.2">
      <c r="A7">
        <v>6</v>
      </c>
      <c r="B7">
        <v>0</v>
      </c>
      <c r="C7">
        <v>1</v>
      </c>
      <c r="D7">
        <v>0</v>
      </c>
      <c r="E7">
        <v>1</v>
      </c>
      <c r="F7">
        <v>1</v>
      </c>
      <c r="G7">
        <v>0</v>
      </c>
      <c r="H7">
        <v>1</v>
      </c>
      <c r="I7">
        <v>1</v>
      </c>
      <c r="J7">
        <f>COUNTIF(B7:I7, 1)</f>
        <v>5</v>
      </c>
    </row>
    <row r="8" spans="1:10" x14ac:dyDescent="0.2">
      <c r="A8">
        <v>7</v>
      </c>
      <c r="B8">
        <v>1</v>
      </c>
      <c r="C8">
        <v>0</v>
      </c>
      <c r="D8">
        <v>1</v>
      </c>
      <c r="E8">
        <v>1</v>
      </c>
      <c r="F8">
        <v>0</v>
      </c>
      <c r="G8">
        <v>0</v>
      </c>
      <c r="H8">
        <v>1</v>
      </c>
      <c r="I8">
        <v>1</v>
      </c>
      <c r="J8">
        <f>COUNTIF(B8:I8, 1)</f>
        <v>5</v>
      </c>
    </row>
    <row r="9" spans="1:10" x14ac:dyDescent="0.2">
      <c r="A9">
        <v>8</v>
      </c>
      <c r="B9">
        <v>0</v>
      </c>
      <c r="C9">
        <v>1</v>
      </c>
      <c r="D9">
        <v>1</v>
      </c>
      <c r="E9">
        <v>1</v>
      </c>
      <c r="F9">
        <v>0</v>
      </c>
      <c r="G9">
        <v>0</v>
      </c>
      <c r="H9">
        <v>1</v>
      </c>
      <c r="I9">
        <v>1</v>
      </c>
      <c r="J9">
        <f>COUNTIF(B9:I9, 1)</f>
        <v>5</v>
      </c>
    </row>
    <row r="10" spans="1:10" x14ac:dyDescent="0.2">
      <c r="A10">
        <v>9</v>
      </c>
      <c r="B10">
        <v>1</v>
      </c>
      <c r="C10">
        <v>0</v>
      </c>
      <c r="D10">
        <v>0</v>
      </c>
      <c r="E10">
        <v>0</v>
      </c>
      <c r="F10">
        <v>1</v>
      </c>
      <c r="G10">
        <v>0</v>
      </c>
      <c r="H10">
        <v>0</v>
      </c>
      <c r="I10">
        <v>1</v>
      </c>
      <c r="J10">
        <f>COUNTIF(B10:I10, 1)</f>
        <v>3</v>
      </c>
    </row>
    <row r="11" spans="1:10" x14ac:dyDescent="0.2">
      <c r="A11">
        <v>10</v>
      </c>
      <c r="B11">
        <v>0</v>
      </c>
      <c r="C11">
        <v>1</v>
      </c>
      <c r="D11">
        <v>0</v>
      </c>
      <c r="E11">
        <v>0</v>
      </c>
      <c r="F11">
        <v>1</v>
      </c>
      <c r="G11">
        <v>1</v>
      </c>
      <c r="H11">
        <v>0</v>
      </c>
      <c r="I11">
        <v>1</v>
      </c>
      <c r="J11">
        <f>COUNTIF(B11:I11, 1)</f>
        <v>4</v>
      </c>
    </row>
    <row r="12" spans="1:10" x14ac:dyDescent="0.2">
      <c r="A12">
        <v>11</v>
      </c>
      <c r="B12">
        <v>1</v>
      </c>
      <c r="C12">
        <v>0</v>
      </c>
      <c r="D12">
        <v>1</v>
      </c>
      <c r="E12">
        <v>0</v>
      </c>
      <c r="F12">
        <v>0</v>
      </c>
      <c r="G12">
        <v>1</v>
      </c>
      <c r="H12">
        <v>0</v>
      </c>
      <c r="I12">
        <v>1</v>
      </c>
      <c r="J12">
        <f>COUNTIF(B12:I12, 1)</f>
        <v>4</v>
      </c>
    </row>
    <row r="13" spans="1:10" x14ac:dyDescent="0.2">
      <c r="A13">
        <v>12</v>
      </c>
      <c r="B13">
        <v>0</v>
      </c>
      <c r="C13">
        <v>1</v>
      </c>
      <c r="D13">
        <v>1</v>
      </c>
      <c r="E13">
        <v>0</v>
      </c>
      <c r="F13">
        <v>0</v>
      </c>
      <c r="G13">
        <v>1</v>
      </c>
      <c r="H13">
        <v>0</v>
      </c>
      <c r="I13">
        <v>1</v>
      </c>
      <c r="J13">
        <f>COUNTIF(B13:I13, 1)</f>
        <v>4</v>
      </c>
    </row>
    <row r="14" spans="1:10" x14ac:dyDescent="0.2">
      <c r="A14">
        <v>13</v>
      </c>
      <c r="B14">
        <v>1</v>
      </c>
      <c r="C14">
        <v>0</v>
      </c>
      <c r="D14">
        <v>0</v>
      </c>
      <c r="E14">
        <v>1</v>
      </c>
      <c r="F14">
        <v>1</v>
      </c>
      <c r="G14">
        <v>0</v>
      </c>
      <c r="H14">
        <v>0</v>
      </c>
      <c r="I14">
        <v>0</v>
      </c>
      <c r="J14">
        <f>COUNTIF(B14:I14, 1)</f>
        <v>3</v>
      </c>
    </row>
    <row r="15" spans="1:10" x14ac:dyDescent="0.2">
      <c r="A15">
        <v>14</v>
      </c>
      <c r="B15">
        <v>0</v>
      </c>
      <c r="C15">
        <v>1</v>
      </c>
      <c r="D15">
        <v>0</v>
      </c>
      <c r="E15">
        <v>1</v>
      </c>
      <c r="F15">
        <v>1</v>
      </c>
      <c r="G15">
        <v>0</v>
      </c>
      <c r="H15">
        <v>0</v>
      </c>
      <c r="I15">
        <v>0</v>
      </c>
      <c r="J15">
        <f>COUNTIF(B15:I15, 1)</f>
        <v>3</v>
      </c>
    </row>
    <row r="16" spans="1:10" x14ac:dyDescent="0.2">
      <c r="A16">
        <v>15</v>
      </c>
      <c r="B16">
        <v>1</v>
      </c>
      <c r="C16">
        <v>0</v>
      </c>
      <c r="D16">
        <v>1</v>
      </c>
      <c r="E16">
        <v>1</v>
      </c>
      <c r="F16">
        <v>0</v>
      </c>
      <c r="G16">
        <v>0</v>
      </c>
      <c r="H16">
        <v>0</v>
      </c>
      <c r="I16">
        <v>0</v>
      </c>
      <c r="J16">
        <f>COUNTIF(B16:I16, 1)</f>
        <v>3</v>
      </c>
    </row>
    <row r="17" spans="1:10" x14ac:dyDescent="0.2">
      <c r="A17">
        <v>16</v>
      </c>
      <c r="B17">
        <v>0</v>
      </c>
      <c r="C17">
        <v>1</v>
      </c>
      <c r="D17">
        <v>0</v>
      </c>
      <c r="E17">
        <v>1</v>
      </c>
      <c r="F17">
        <v>0</v>
      </c>
      <c r="G17">
        <v>0</v>
      </c>
      <c r="H17">
        <v>0</v>
      </c>
      <c r="I17">
        <v>0</v>
      </c>
      <c r="J17">
        <f>COUNTIF(B17:I17, 1)</f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59096-85EC-6844-83BB-A3D9FC91749B}">
  <dimension ref="A1:S8"/>
  <sheetViews>
    <sheetView zoomScale="120" zoomScaleNormal="120" workbookViewId="0">
      <selection activeCell="C21" sqref="C21"/>
    </sheetView>
  </sheetViews>
  <sheetFormatPr baseColWidth="10" defaultRowHeight="15" x14ac:dyDescent="0.2"/>
  <cols>
    <col min="1" max="1" width="19.83203125" bestFit="1" customWidth="1"/>
    <col min="2" max="2" width="21.6640625" bestFit="1" customWidth="1"/>
    <col min="3" max="3" width="48.83203125" bestFit="1" customWidth="1"/>
  </cols>
  <sheetData>
    <row r="1" spans="1:19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116</v>
      </c>
      <c r="G1" s="1" t="s">
        <v>112</v>
      </c>
      <c r="H1" s="1" t="s">
        <v>6</v>
      </c>
      <c r="I1" s="1" t="s">
        <v>111</v>
      </c>
      <c r="J1" s="1" t="s">
        <v>132</v>
      </c>
      <c r="K1" s="1" t="s">
        <v>8</v>
      </c>
      <c r="L1" s="1" t="s">
        <v>9</v>
      </c>
      <c r="M1" s="1" t="s">
        <v>133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</row>
    <row r="2" spans="1:19" x14ac:dyDescent="0.2">
      <c r="A2" t="s">
        <v>29</v>
      </c>
      <c r="B2" t="s">
        <v>27</v>
      </c>
      <c r="C2" t="s">
        <v>30</v>
      </c>
      <c r="D2" t="s">
        <v>19</v>
      </c>
      <c r="E2" t="s">
        <v>31</v>
      </c>
      <c r="I2" s="3"/>
      <c r="J2" s="2"/>
      <c r="K2" s="2"/>
      <c r="L2" s="2"/>
      <c r="M2" s="2"/>
      <c r="P2" t="s">
        <v>104</v>
      </c>
    </row>
    <row r="3" spans="1:19" x14ac:dyDescent="0.2">
      <c r="A3" t="s">
        <v>32</v>
      </c>
      <c r="B3" t="s">
        <v>33</v>
      </c>
      <c r="C3" t="s">
        <v>34</v>
      </c>
      <c r="D3" t="s">
        <v>19</v>
      </c>
      <c r="E3" t="s">
        <v>121</v>
      </c>
      <c r="F3" t="s">
        <v>35</v>
      </c>
      <c r="G3">
        <v>2018</v>
      </c>
      <c r="I3" s="3">
        <v>3677</v>
      </c>
      <c r="J3" s="2">
        <v>1710</v>
      </c>
      <c r="K3" s="2"/>
      <c r="L3" s="2">
        <v>3677</v>
      </c>
      <c r="M3" s="2">
        <v>5623</v>
      </c>
      <c r="P3" t="s">
        <v>36</v>
      </c>
    </row>
    <row r="4" spans="1:19" x14ac:dyDescent="0.2">
      <c r="A4" t="s">
        <v>45</v>
      </c>
      <c r="B4" t="s">
        <v>38</v>
      </c>
      <c r="C4" t="s">
        <v>46</v>
      </c>
      <c r="D4" t="s">
        <v>40</v>
      </c>
      <c r="E4" t="s">
        <v>31</v>
      </c>
      <c r="F4" t="s">
        <v>35</v>
      </c>
      <c r="I4" s="3">
        <v>0.61</v>
      </c>
      <c r="J4">
        <v>0.61</v>
      </c>
      <c r="K4" s="2"/>
      <c r="L4" s="2"/>
      <c r="M4">
        <v>0.71</v>
      </c>
      <c r="P4" t="s">
        <v>47</v>
      </c>
      <c r="Q4" s="10" t="s">
        <v>128</v>
      </c>
      <c r="R4" t="s">
        <v>48</v>
      </c>
      <c r="S4" t="s">
        <v>49</v>
      </c>
    </row>
    <row r="5" spans="1:19" x14ac:dyDescent="0.2">
      <c r="A5" t="s">
        <v>50</v>
      </c>
      <c r="B5" t="s">
        <v>38</v>
      </c>
      <c r="C5" t="s">
        <v>51</v>
      </c>
      <c r="D5" t="s">
        <v>40</v>
      </c>
      <c r="E5" t="s">
        <v>52</v>
      </c>
      <c r="F5" t="s">
        <v>35</v>
      </c>
      <c r="G5">
        <v>2011</v>
      </c>
      <c r="H5" s="7" t="s">
        <v>124</v>
      </c>
      <c r="I5" s="3">
        <v>11</v>
      </c>
      <c r="J5">
        <v>11</v>
      </c>
      <c r="K5" s="2">
        <v>33</v>
      </c>
      <c r="L5" s="2"/>
      <c r="M5" s="2"/>
      <c r="P5" t="s">
        <v>53</v>
      </c>
      <c r="Q5" t="s">
        <v>54</v>
      </c>
    </row>
    <row r="6" spans="1:19" x14ac:dyDescent="0.2">
      <c r="A6" t="s">
        <v>55</v>
      </c>
      <c r="B6" t="s">
        <v>38</v>
      </c>
      <c r="C6" t="s">
        <v>56</v>
      </c>
      <c r="D6" t="s">
        <v>40</v>
      </c>
      <c r="E6" t="s">
        <v>57</v>
      </c>
      <c r="F6" t="s">
        <v>35</v>
      </c>
      <c r="I6" s="3">
        <v>4.9400000000000004</v>
      </c>
      <c r="J6" s="2"/>
      <c r="K6" s="2">
        <v>4.9400000000000004</v>
      </c>
      <c r="L6" s="2"/>
      <c r="M6" s="2"/>
      <c r="O6" t="s">
        <v>58</v>
      </c>
      <c r="P6" t="s">
        <v>59</v>
      </c>
      <c r="Q6" t="s">
        <v>60</v>
      </c>
    </row>
    <row r="7" spans="1:19" x14ac:dyDescent="0.2">
      <c r="A7" t="s">
        <v>61</v>
      </c>
      <c r="B7" t="s">
        <v>38</v>
      </c>
      <c r="C7" t="s">
        <v>62</v>
      </c>
      <c r="D7" t="s">
        <v>19</v>
      </c>
      <c r="E7" t="s">
        <v>63</v>
      </c>
      <c r="F7" t="s">
        <v>35</v>
      </c>
      <c r="H7" t="s">
        <v>64</v>
      </c>
      <c r="I7" s="3">
        <v>99.44</v>
      </c>
      <c r="J7" s="2"/>
      <c r="K7" s="2"/>
      <c r="L7" s="2"/>
      <c r="M7" s="2"/>
    </row>
    <row r="8" spans="1:19" x14ac:dyDescent="0.2">
      <c r="A8" t="s">
        <v>73</v>
      </c>
      <c r="B8" t="s">
        <v>74</v>
      </c>
      <c r="C8" t="s">
        <v>75</v>
      </c>
      <c r="D8">
        <v>1</v>
      </c>
      <c r="E8" t="s">
        <v>125</v>
      </c>
      <c r="F8" t="s">
        <v>115</v>
      </c>
      <c r="G8">
        <v>2017</v>
      </c>
      <c r="I8" s="3">
        <v>130</v>
      </c>
      <c r="J8" s="2"/>
      <c r="K8" s="2">
        <v>130</v>
      </c>
      <c r="L8" s="2"/>
      <c r="M8" s="2"/>
      <c r="O8" t="s">
        <v>76</v>
      </c>
      <c r="P8" t="s">
        <v>77</v>
      </c>
      <c r="Q8" t="s">
        <v>78</v>
      </c>
    </row>
  </sheetData>
  <hyperlinks>
    <hyperlink ref="Q4" r:id="rId1" xr:uid="{E2688716-666A-5E4E-A84E-AC0F91173F0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4"/>
  <sheetViews>
    <sheetView zoomScale="108" workbookViewId="0">
      <selection activeCell="B18" sqref="B18"/>
    </sheetView>
  </sheetViews>
  <sheetFormatPr baseColWidth="10" defaultColWidth="8.83203125" defaultRowHeight="15" x14ac:dyDescent="0.2"/>
  <cols>
    <col min="1" max="1" width="20.33203125" bestFit="1" customWidth="1"/>
    <col min="2" max="2" width="24.83203125" bestFit="1" customWidth="1"/>
    <col min="3" max="3" width="81.5" customWidth="1"/>
    <col min="4" max="4" width="9.6640625" bestFit="1" customWidth="1"/>
    <col min="5" max="5" width="20.6640625" bestFit="1" customWidth="1"/>
    <col min="6" max="6" width="7.5" bestFit="1" customWidth="1"/>
    <col min="7" max="7" width="7.33203125" customWidth="1"/>
    <col min="8" max="8" width="43.33203125" bestFit="1" customWidth="1"/>
    <col min="9" max="9" width="19" bestFit="1" customWidth="1"/>
    <col min="10" max="10" width="10.33203125" bestFit="1" customWidth="1"/>
    <col min="11" max="11" width="9.6640625" bestFit="1" customWidth="1"/>
    <col min="12" max="12" width="12.5" bestFit="1" customWidth="1"/>
    <col min="13" max="13" width="11.6640625" bestFit="1" customWidth="1"/>
    <col min="15" max="15" width="9.33203125" bestFit="1" customWidth="1"/>
    <col min="16" max="16" width="53.6640625" bestFit="1" customWidth="1"/>
    <col min="17" max="17" width="72.1640625" bestFit="1" customWidth="1"/>
    <col min="18" max="18" width="138.1640625" bestFit="1" customWidth="1"/>
    <col min="19" max="19" width="54.6640625" bestFit="1" customWidth="1"/>
    <col min="20" max="20" width="102.6640625" bestFit="1" customWidth="1"/>
  </cols>
  <sheetData>
    <row r="1" spans="1:20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116</v>
      </c>
      <c r="G1" s="1" t="s">
        <v>112</v>
      </c>
      <c r="H1" s="1" t="s">
        <v>6</v>
      </c>
      <c r="I1" s="1" t="s">
        <v>111</v>
      </c>
      <c r="J1" s="1" t="s">
        <v>7</v>
      </c>
      <c r="K1" s="1" t="s">
        <v>8</v>
      </c>
      <c r="L1" s="1" t="s">
        <v>9</v>
      </c>
      <c r="M1" s="1" t="s">
        <v>10</v>
      </c>
      <c r="O1" s="1" t="s">
        <v>5</v>
      </c>
      <c r="P1" s="1" t="s">
        <v>11</v>
      </c>
      <c r="Q1" s="1" t="s">
        <v>12</v>
      </c>
      <c r="R1" s="1" t="s">
        <v>13</v>
      </c>
      <c r="S1" s="1" t="s">
        <v>14</v>
      </c>
      <c r="T1" s="1" t="s">
        <v>15</v>
      </c>
    </row>
    <row r="2" spans="1:20" s="5" customFormat="1" x14ac:dyDescent="0.2">
      <c r="A2" s="5" t="s">
        <v>16</v>
      </c>
      <c r="B2" s="5" t="s">
        <v>17</v>
      </c>
      <c r="C2" s="5" t="s">
        <v>18</v>
      </c>
      <c r="D2" s="5" t="s">
        <v>19</v>
      </c>
      <c r="E2" s="5" t="s">
        <v>20</v>
      </c>
      <c r="H2" s="5" t="s">
        <v>105</v>
      </c>
      <c r="I2" s="8"/>
      <c r="J2" s="6"/>
      <c r="K2" s="6"/>
      <c r="L2" s="6"/>
      <c r="M2" s="6"/>
      <c r="O2" s="5" t="s">
        <v>21</v>
      </c>
    </row>
    <row r="3" spans="1:20" x14ac:dyDescent="0.2">
      <c r="A3" t="s">
        <v>22</v>
      </c>
      <c r="B3" t="s">
        <v>17</v>
      </c>
      <c r="C3" t="s">
        <v>23</v>
      </c>
      <c r="D3" t="s">
        <v>19</v>
      </c>
      <c r="E3" t="s">
        <v>125</v>
      </c>
      <c r="F3" t="s">
        <v>35</v>
      </c>
      <c r="H3" t="s">
        <v>99</v>
      </c>
      <c r="I3" s="3">
        <v>973000</v>
      </c>
      <c r="J3" s="3">
        <v>100000</v>
      </c>
      <c r="K3" s="3">
        <v>973000</v>
      </c>
      <c r="L3" s="4">
        <v>294728</v>
      </c>
      <c r="M3" s="3">
        <v>10000000</v>
      </c>
      <c r="O3" t="s">
        <v>21</v>
      </c>
      <c r="R3" s="10" t="s">
        <v>98</v>
      </c>
    </row>
    <row r="4" spans="1:20" x14ac:dyDescent="0.2">
      <c r="A4" t="s">
        <v>120</v>
      </c>
      <c r="B4" t="s">
        <v>17</v>
      </c>
      <c r="C4" t="s">
        <v>114</v>
      </c>
      <c r="D4" t="s">
        <v>117</v>
      </c>
      <c r="I4" s="3"/>
      <c r="J4" s="3"/>
      <c r="K4" s="3"/>
      <c r="L4" s="4"/>
      <c r="M4" s="3"/>
    </row>
    <row r="5" spans="1:20" x14ac:dyDescent="0.2">
      <c r="A5" t="s">
        <v>24</v>
      </c>
      <c r="B5" t="s">
        <v>17</v>
      </c>
      <c r="C5" t="s">
        <v>114</v>
      </c>
      <c r="D5">
        <v>4</v>
      </c>
      <c r="E5" t="s">
        <v>126</v>
      </c>
      <c r="F5" t="s">
        <v>35</v>
      </c>
      <c r="H5" t="s">
        <v>105</v>
      </c>
      <c r="I5" s="3">
        <v>875000</v>
      </c>
      <c r="J5" s="3">
        <v>500000</v>
      </c>
      <c r="K5" s="3">
        <v>875000</v>
      </c>
      <c r="L5" s="3"/>
      <c r="M5" s="3">
        <v>1200000</v>
      </c>
      <c r="O5" t="s">
        <v>21</v>
      </c>
      <c r="P5" t="s">
        <v>100</v>
      </c>
      <c r="Q5" t="s">
        <v>101</v>
      </c>
      <c r="R5" s="10" t="s">
        <v>25</v>
      </c>
      <c r="S5" t="s">
        <v>102</v>
      </c>
      <c r="T5" t="s">
        <v>103</v>
      </c>
    </row>
    <row r="7" spans="1:20" x14ac:dyDescent="0.2">
      <c r="A7" t="s">
        <v>26</v>
      </c>
      <c r="B7" t="s">
        <v>27</v>
      </c>
      <c r="C7" t="s">
        <v>107</v>
      </c>
      <c r="D7">
        <v>1</v>
      </c>
      <c r="E7" t="s">
        <v>125</v>
      </c>
      <c r="F7" t="s">
        <v>115</v>
      </c>
      <c r="G7" s="3">
        <v>2017</v>
      </c>
      <c r="I7" s="3">
        <v>75000</v>
      </c>
      <c r="J7" s="3"/>
      <c r="K7" s="3">
        <v>133685</v>
      </c>
      <c r="L7" s="3">
        <v>75000</v>
      </c>
      <c r="M7" s="3"/>
      <c r="O7" t="s">
        <v>28</v>
      </c>
      <c r="P7" t="s">
        <v>113</v>
      </c>
      <c r="Q7" t="s">
        <v>108</v>
      </c>
      <c r="R7" t="s">
        <v>109</v>
      </c>
      <c r="S7" t="s">
        <v>110</v>
      </c>
      <c r="T7" t="s">
        <v>106</v>
      </c>
    </row>
    <row r="8" spans="1:20" s="5" customFormat="1" x14ac:dyDescent="0.2">
      <c r="A8" s="5" t="s">
        <v>29</v>
      </c>
      <c r="B8" s="5" t="s">
        <v>27</v>
      </c>
      <c r="C8" s="5" t="s">
        <v>30</v>
      </c>
      <c r="D8" s="5" t="s">
        <v>19</v>
      </c>
      <c r="E8" s="5" t="s">
        <v>31</v>
      </c>
      <c r="I8" s="8"/>
      <c r="J8" s="6"/>
      <c r="K8" s="6"/>
      <c r="L8" s="6"/>
      <c r="M8" s="6"/>
      <c r="O8" s="5" t="s">
        <v>28</v>
      </c>
      <c r="Q8" s="5" t="s">
        <v>104</v>
      </c>
    </row>
    <row r="9" spans="1:20" x14ac:dyDescent="0.2">
      <c r="A9" t="s">
        <v>32</v>
      </c>
      <c r="B9" t="s">
        <v>33</v>
      </c>
      <c r="C9" t="s">
        <v>34</v>
      </c>
      <c r="D9" t="s">
        <v>19</v>
      </c>
      <c r="E9" t="s">
        <v>121</v>
      </c>
      <c r="F9" t="s">
        <v>35</v>
      </c>
      <c r="G9">
        <v>2018</v>
      </c>
      <c r="I9" s="3">
        <v>3677</v>
      </c>
      <c r="J9" s="2">
        <v>1710</v>
      </c>
      <c r="K9" s="2"/>
      <c r="L9" s="2">
        <v>3677</v>
      </c>
      <c r="M9" s="2">
        <v>5623</v>
      </c>
      <c r="O9" t="s">
        <v>21</v>
      </c>
      <c r="Q9" t="s">
        <v>36</v>
      </c>
    </row>
    <row r="11" spans="1:20" x14ac:dyDescent="0.2">
      <c r="A11" t="s">
        <v>45</v>
      </c>
      <c r="B11" t="s">
        <v>38</v>
      </c>
      <c r="C11" t="s">
        <v>46</v>
      </c>
      <c r="D11" t="s">
        <v>40</v>
      </c>
      <c r="E11" t="s">
        <v>31</v>
      </c>
      <c r="F11" t="s">
        <v>35</v>
      </c>
      <c r="I11" s="3">
        <v>0.61</v>
      </c>
      <c r="J11">
        <v>0.61</v>
      </c>
      <c r="K11" s="2"/>
      <c r="L11" s="2"/>
      <c r="M11">
        <v>0.71</v>
      </c>
      <c r="O11" t="s">
        <v>28</v>
      </c>
      <c r="Q11" t="s">
        <v>47</v>
      </c>
      <c r="R11" s="10" t="s">
        <v>128</v>
      </c>
      <c r="S11" t="s">
        <v>48</v>
      </c>
      <c r="T11" t="s">
        <v>49</v>
      </c>
    </row>
    <row r="12" spans="1:20" x14ac:dyDescent="0.2">
      <c r="A12" t="s">
        <v>50</v>
      </c>
      <c r="B12" t="s">
        <v>38</v>
      </c>
      <c r="C12" t="s">
        <v>51</v>
      </c>
      <c r="D12" t="s">
        <v>40</v>
      </c>
      <c r="E12" t="s">
        <v>52</v>
      </c>
      <c r="F12" t="s">
        <v>35</v>
      </c>
      <c r="G12">
        <v>2011</v>
      </c>
      <c r="H12" s="7" t="s">
        <v>124</v>
      </c>
      <c r="I12" s="3">
        <v>11</v>
      </c>
      <c r="J12">
        <v>11</v>
      </c>
      <c r="K12" s="2">
        <v>33</v>
      </c>
      <c r="L12" s="2"/>
      <c r="M12" s="2"/>
      <c r="O12" t="s">
        <v>28</v>
      </c>
      <c r="Q12" t="s">
        <v>53</v>
      </c>
      <c r="R12" t="s">
        <v>54</v>
      </c>
    </row>
    <row r="13" spans="1:20" x14ac:dyDescent="0.2">
      <c r="A13" t="s">
        <v>55</v>
      </c>
      <c r="B13" t="s">
        <v>38</v>
      </c>
      <c r="C13" t="s">
        <v>56</v>
      </c>
      <c r="D13" t="s">
        <v>40</v>
      </c>
      <c r="E13" t="s">
        <v>57</v>
      </c>
      <c r="F13" t="s">
        <v>35</v>
      </c>
      <c r="I13" s="3">
        <v>4.9400000000000004</v>
      </c>
      <c r="J13" s="2"/>
      <c r="K13" s="2">
        <v>4.9400000000000004</v>
      </c>
      <c r="L13" s="2"/>
      <c r="M13" s="2"/>
      <c r="O13" t="s">
        <v>28</v>
      </c>
      <c r="P13" t="s">
        <v>58</v>
      </c>
      <c r="Q13" t="s">
        <v>59</v>
      </c>
      <c r="R13" t="s">
        <v>60</v>
      </c>
    </row>
    <row r="14" spans="1:20" x14ac:dyDescent="0.2">
      <c r="A14" t="s">
        <v>61</v>
      </c>
      <c r="B14" t="s">
        <v>38</v>
      </c>
      <c r="C14" t="s">
        <v>62</v>
      </c>
      <c r="D14" t="s">
        <v>19</v>
      </c>
      <c r="E14" t="s">
        <v>63</v>
      </c>
      <c r="F14" t="s">
        <v>35</v>
      </c>
      <c r="H14" t="s">
        <v>64</v>
      </c>
      <c r="I14" s="3">
        <v>99.44</v>
      </c>
      <c r="J14" s="2"/>
      <c r="K14" s="2"/>
      <c r="L14" s="2"/>
      <c r="M14" s="2"/>
      <c r="O14" t="s">
        <v>28</v>
      </c>
    </row>
    <row r="15" spans="1:20" x14ac:dyDescent="0.2">
      <c r="A15" t="s">
        <v>65</v>
      </c>
      <c r="B15" t="s">
        <v>38</v>
      </c>
      <c r="C15" t="s">
        <v>66</v>
      </c>
      <c r="D15" t="s">
        <v>19</v>
      </c>
      <c r="E15" t="s">
        <v>63</v>
      </c>
      <c r="F15" t="s">
        <v>35</v>
      </c>
      <c r="G15">
        <v>2022</v>
      </c>
      <c r="I15" s="3">
        <v>11</v>
      </c>
      <c r="J15" s="2"/>
      <c r="K15" s="2">
        <v>11</v>
      </c>
      <c r="L15" s="2"/>
      <c r="M15" s="2"/>
      <c r="O15" t="s">
        <v>28</v>
      </c>
      <c r="Q15" t="s">
        <v>67</v>
      </c>
      <c r="R15" t="s">
        <v>68</v>
      </c>
    </row>
    <row r="16" spans="1:20" x14ac:dyDescent="0.2">
      <c r="A16" t="s">
        <v>69</v>
      </c>
      <c r="B16" t="s">
        <v>38</v>
      </c>
      <c r="C16" t="s">
        <v>70</v>
      </c>
      <c r="D16" t="s">
        <v>71</v>
      </c>
      <c r="E16" t="s">
        <v>63</v>
      </c>
      <c r="F16" t="s">
        <v>35</v>
      </c>
      <c r="G16">
        <v>2021</v>
      </c>
      <c r="H16" t="s">
        <v>72</v>
      </c>
      <c r="I16" s="3">
        <v>295275</v>
      </c>
      <c r="K16" s="2"/>
      <c r="L16" s="2"/>
      <c r="M16" s="9">
        <v>295275</v>
      </c>
      <c r="O16" t="s">
        <v>28</v>
      </c>
      <c r="Q16" t="s">
        <v>67</v>
      </c>
      <c r="R16" t="s">
        <v>68</v>
      </c>
    </row>
    <row r="17" spans="1:18" x14ac:dyDescent="0.2">
      <c r="A17" t="s">
        <v>73</v>
      </c>
      <c r="B17" t="s">
        <v>74</v>
      </c>
      <c r="C17" t="s">
        <v>75</v>
      </c>
      <c r="D17" t="s">
        <v>19</v>
      </c>
      <c r="E17" t="s">
        <v>125</v>
      </c>
      <c r="F17" t="s">
        <v>115</v>
      </c>
      <c r="G17">
        <v>2017</v>
      </c>
      <c r="I17" s="3">
        <v>130</v>
      </c>
      <c r="J17" s="2"/>
      <c r="K17" s="2">
        <v>130</v>
      </c>
      <c r="L17" s="2"/>
      <c r="M17" s="2"/>
      <c r="O17" t="s">
        <v>21</v>
      </c>
      <c r="P17" t="s">
        <v>76</v>
      </c>
      <c r="Q17" t="s">
        <v>77</v>
      </c>
      <c r="R17" t="s">
        <v>78</v>
      </c>
    </row>
    <row r="18" spans="1:18" x14ac:dyDescent="0.2">
      <c r="A18" t="s">
        <v>79</v>
      </c>
      <c r="B18" t="s">
        <v>80</v>
      </c>
      <c r="C18" t="s">
        <v>81</v>
      </c>
      <c r="D18" t="s">
        <v>82</v>
      </c>
      <c r="E18" t="s">
        <v>122</v>
      </c>
      <c r="F18" t="s">
        <v>115</v>
      </c>
      <c r="G18">
        <v>2015</v>
      </c>
      <c r="H18" s="7" t="s">
        <v>123</v>
      </c>
      <c r="I18" s="3">
        <v>50</v>
      </c>
      <c r="J18">
        <v>25</v>
      </c>
      <c r="K18" s="2">
        <v>50</v>
      </c>
      <c r="L18" s="2"/>
      <c r="M18">
        <v>100</v>
      </c>
      <c r="O18" t="s">
        <v>28</v>
      </c>
      <c r="Q18" t="s">
        <v>83</v>
      </c>
      <c r="R18" t="s">
        <v>84</v>
      </c>
    </row>
    <row r="19" spans="1:18" x14ac:dyDescent="0.2">
      <c r="A19" t="s">
        <v>85</v>
      </c>
      <c r="B19" t="s">
        <v>80</v>
      </c>
      <c r="C19" t="s">
        <v>86</v>
      </c>
      <c r="D19" t="s">
        <v>82</v>
      </c>
      <c r="E19" t="s">
        <v>125</v>
      </c>
      <c r="F19" t="s">
        <v>115</v>
      </c>
      <c r="G19">
        <v>2018</v>
      </c>
      <c r="I19" s="3">
        <v>300</v>
      </c>
      <c r="J19">
        <v>200</v>
      </c>
      <c r="K19" s="2"/>
      <c r="L19" s="2"/>
      <c r="M19">
        <v>400</v>
      </c>
      <c r="O19" t="s">
        <v>28</v>
      </c>
      <c r="P19" t="s">
        <v>87</v>
      </c>
      <c r="Q19" t="s">
        <v>88</v>
      </c>
      <c r="R19" s="10" t="s">
        <v>129</v>
      </c>
    </row>
    <row r="20" spans="1:18" x14ac:dyDescent="0.2">
      <c r="A20" t="s">
        <v>89</v>
      </c>
      <c r="B20" t="s">
        <v>80</v>
      </c>
      <c r="C20" t="s">
        <v>90</v>
      </c>
      <c r="D20" t="s">
        <v>19</v>
      </c>
      <c r="E20" t="s">
        <v>91</v>
      </c>
      <c r="F20" t="s">
        <v>115</v>
      </c>
      <c r="G20">
        <v>2018</v>
      </c>
      <c r="H20" s="7" t="s">
        <v>127</v>
      </c>
      <c r="I20" s="3">
        <v>448677628</v>
      </c>
      <c r="J20">
        <v>448677628</v>
      </c>
      <c r="K20" s="2"/>
      <c r="L20" s="2"/>
      <c r="M20" s="2"/>
      <c r="O20" t="s">
        <v>28</v>
      </c>
      <c r="Q20" t="s">
        <v>131</v>
      </c>
      <c r="R20" s="10" t="s">
        <v>130</v>
      </c>
    </row>
    <row r="21" spans="1:18" x14ac:dyDescent="0.2">
      <c r="A21" t="s">
        <v>92</v>
      </c>
      <c r="B21" t="s">
        <v>93</v>
      </c>
      <c r="C21" t="s">
        <v>94</v>
      </c>
      <c r="E21" t="s">
        <v>95</v>
      </c>
      <c r="F21" t="s">
        <v>115</v>
      </c>
      <c r="G21">
        <v>2018</v>
      </c>
      <c r="I21" s="3">
        <v>33945</v>
      </c>
      <c r="J21" s="2"/>
      <c r="K21" s="2"/>
      <c r="L21" s="2"/>
      <c r="M21" s="2"/>
    </row>
    <row r="22" spans="1:18" x14ac:dyDescent="0.2">
      <c r="A22" t="s">
        <v>96</v>
      </c>
      <c r="B22" t="s">
        <v>93</v>
      </c>
      <c r="C22" t="s">
        <v>97</v>
      </c>
      <c r="E22" t="s">
        <v>95</v>
      </c>
      <c r="F22" t="s">
        <v>115</v>
      </c>
      <c r="G22">
        <v>2018</v>
      </c>
      <c r="I22" s="3">
        <v>5171000</v>
      </c>
    </row>
    <row r="23" spans="1:18" x14ac:dyDescent="0.2">
      <c r="A23" t="s">
        <v>119</v>
      </c>
      <c r="B23" t="s">
        <v>93</v>
      </c>
      <c r="C23" t="s">
        <v>118</v>
      </c>
      <c r="D23" t="s">
        <v>117</v>
      </c>
      <c r="E23" t="s">
        <v>31</v>
      </c>
      <c r="I23" s="3"/>
    </row>
    <row r="24" spans="1:18" x14ac:dyDescent="0.2">
      <c r="A24" t="s">
        <v>37</v>
      </c>
      <c r="B24" t="s">
        <v>93</v>
      </c>
      <c r="C24" t="s">
        <v>39</v>
      </c>
      <c r="D24" t="s">
        <v>40</v>
      </c>
      <c r="E24" t="s">
        <v>41</v>
      </c>
      <c r="F24" t="s">
        <v>35</v>
      </c>
      <c r="I24" s="3">
        <v>60.37</v>
      </c>
      <c r="J24" s="2"/>
      <c r="K24" s="2">
        <v>60.37</v>
      </c>
      <c r="L24" s="2"/>
      <c r="M24" s="2"/>
      <c r="O24" t="s">
        <v>28</v>
      </c>
      <c r="P24" t="s">
        <v>42</v>
      </c>
      <c r="Q24" t="s">
        <v>43</v>
      </c>
      <c r="R24" t="s">
        <v>44</v>
      </c>
    </row>
  </sheetData>
  <hyperlinks>
    <hyperlink ref="R19" r:id="rId1" xr:uid="{913DD2C2-09D4-6340-B25B-D342990A3AE8}"/>
    <hyperlink ref="R11" r:id="rId2" xr:uid="{C43FA892-8D61-5549-A0D1-6272414542B3}"/>
    <hyperlink ref="R5" r:id="rId3" xr:uid="{5D753F69-E906-C04B-9822-C8DAFD369E0A}"/>
    <hyperlink ref="R3" r:id="rId4" xr:uid="{A8715A40-89FF-2646-97A1-6C834ED4F68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Baseline components </vt:lpstr>
      <vt:lpstr>mvpf_component_mapping</vt:lpstr>
      <vt:lpstr>CCJ Subset Quantification</vt:lpstr>
      <vt:lpstr>OLD Baseline components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Adrienn Sinapis J.</cp:lastModifiedBy>
  <dcterms:created xsi:type="dcterms:W3CDTF">2025-09-22T06:07:08Z</dcterms:created>
  <dcterms:modified xsi:type="dcterms:W3CDTF">2025-11-10T07:31:55Z</dcterms:modified>
</cp:coreProperties>
</file>